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w\Documents\Data D\CP4101\Project files\"/>
    </mc:Choice>
  </mc:AlternateContent>
  <xr:revisionPtr revIDLastSave="0" documentId="13_ncr:1_{A57BBDF3-3F0F-432D-A006-D1966F573B34}" xr6:coauthVersionLast="47" xr6:coauthVersionMax="47" xr10:uidLastSave="{00000000-0000-0000-0000-000000000000}"/>
  <bookViews>
    <workbookView xWindow="-110" yWindow="-110" windowWidth="25820" windowHeight="15500" xr2:uid="{38E455D5-1C99-4176-866E-3B17D56D88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 a="1"/>
  <c r="E3" i="1" s="1"/>
  <c r="E4" i="1" a="1"/>
  <c r="E4" i="1" s="1"/>
  <c r="E5" i="1" a="1"/>
  <c r="E5" i="1"/>
  <c r="E6" i="1" a="1"/>
  <c r="E6" i="1"/>
  <c r="E7" i="1" a="1"/>
  <c r="E7" i="1" s="1"/>
  <c r="E8" i="1" a="1"/>
  <c r="E8" i="1" s="1"/>
  <c r="E9" i="1" a="1"/>
  <c r="E9" i="1"/>
  <c r="E10" i="1" a="1"/>
  <c r="E10" i="1"/>
  <c r="E11" i="1" a="1"/>
  <c r="E11" i="1" s="1"/>
  <c r="E12" i="1" a="1"/>
  <c r="E12" i="1" s="1"/>
  <c r="E13" i="1" a="1"/>
  <c r="E13" i="1"/>
  <c r="E14" i="1" a="1"/>
  <c r="E14" i="1"/>
  <c r="E15" i="1" a="1"/>
  <c r="E15" i="1" s="1"/>
  <c r="E16" i="1" a="1"/>
  <c r="E16" i="1"/>
  <c r="E17" i="1" a="1"/>
  <c r="E17" i="1"/>
  <c r="E18" i="1" a="1"/>
  <c r="E18" i="1"/>
  <c r="E19" i="1" a="1"/>
  <c r="E19" i="1" s="1"/>
  <c r="E20" i="1" a="1"/>
  <c r="E20" i="1" s="1"/>
  <c r="E21" i="1" a="1"/>
  <c r="E21" i="1"/>
  <c r="E22" i="1" a="1"/>
  <c r="E22" i="1"/>
  <c r="E2" i="1" a="1"/>
  <c r="E2" i="1" s="1"/>
  <c r="D22" i="1" a="1"/>
  <c r="D22" i="1"/>
  <c r="D21" i="1" a="1"/>
  <c r="D21" i="1" s="1"/>
  <c r="D20" i="1" a="1"/>
  <c r="D20" i="1"/>
  <c r="D19" i="1" a="1"/>
  <c r="D19" i="1"/>
  <c r="D18" i="1" a="1"/>
  <c r="D18" i="1"/>
  <c r="D17" i="1" a="1"/>
  <c r="D17" i="1"/>
  <c r="D16" i="1" a="1"/>
  <c r="D16" i="1"/>
  <c r="D15" i="1" a="1"/>
  <c r="D15" i="1"/>
  <c r="D14" i="1" a="1"/>
  <c r="D14" i="1"/>
  <c r="D13" i="1" a="1"/>
  <c r="D13" i="1" s="1"/>
  <c r="D12" i="1" a="1"/>
  <c r="D12" i="1"/>
  <c r="D11" i="1" a="1"/>
  <c r="D11" i="1"/>
  <c r="D10" i="1" a="1"/>
  <c r="D10" i="1"/>
  <c r="D9" i="1" a="1"/>
  <c r="D9" i="1"/>
  <c r="D8" i="1" a="1"/>
  <c r="D8" i="1"/>
  <c r="D7" i="1" a="1"/>
  <c r="D7" i="1"/>
  <c r="D6" i="1" a="1"/>
  <c r="D6" i="1"/>
  <c r="D5" i="1" a="1"/>
  <c r="D5" i="1" s="1"/>
  <c r="D4" i="1" a="1"/>
  <c r="D4" i="1"/>
  <c r="D3" i="1" a="1"/>
  <c r="D3" i="1"/>
  <c r="D2" i="1" a="1"/>
  <c r="D2" i="1" s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C17" i="1"/>
  <c r="C18" i="1"/>
  <c r="C5" i="1"/>
  <c r="C6" i="1"/>
  <c r="C7" i="1"/>
  <c r="C8" i="1"/>
  <c r="C9" i="1"/>
  <c r="C10" i="1"/>
  <c r="C14" i="1"/>
  <c r="C15" i="1"/>
  <c r="C11" i="1"/>
  <c r="C12" i="1"/>
  <c r="C16" i="1"/>
  <c r="C19" i="1"/>
  <c r="C20" i="1"/>
  <c r="C21" i="1"/>
  <c r="C22" i="1"/>
  <c r="C2" i="1"/>
  <c r="C3" i="1"/>
  <c r="C4" i="1"/>
  <c r="C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<sst xmlns="http://schemas.openxmlformats.org/spreadsheetml/2006/main" count="16" uniqueCount="8">
  <si>
    <t>Clock_Frequency</t>
  </si>
  <si>
    <t>F0</t>
  </si>
  <si>
    <t>F1</t>
  </si>
  <si>
    <t>HSE/PLL</t>
  </si>
  <si>
    <t>Bit Rate</t>
  </si>
  <si>
    <t>C1</t>
  </si>
  <si>
    <t>C0</t>
  </si>
  <si>
    <t>Unsure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</si>
</sst>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6E78-280C-47F1-BD98-8887F6DC2E23}">
  <dimension ref="A1:I22"/>
  <sheetViews>
    <sheetView tabSelected="1" zoomScale="115" zoomScaleNormal="115" workbookViewId="0">
      <selection activeCell="P20" sqref="P20"/>
    </sheetView>
  </sheetViews>
  <sheetFormatPr defaultRowHeight="14.5" x14ac:dyDescent="0.35"/>
  <cols>
    <col min="1" max="1" width="9.81640625" bestFit="1" customWidth="1"/>
  </cols>
  <sheetData>
    <row r="1" spans="1:9" x14ac:dyDescent="0.35">
      <c r="A1" t="s">
        <v>0</v>
      </c>
      <c r="B1" t="s">
        <v>0</v>
      </c>
      <c r="C1" t="s">
        <v>3</v>
      </c>
      <c r="D1" t="s">
        <v>1</v>
      </c>
      <c r="E1" t="s">
        <v>2</v>
      </c>
      <c r="F1" t="s">
        <v>4</v>
      </c>
      <c r="G1" t="s">
        <v>6</v>
      </c>
      <c r="H1" t="s">
        <v>5</v>
      </c>
    </row>
    <row r="2" spans="1:9" x14ac:dyDescent="0.35">
      <c r="A2">
        <v>6400000</v>
      </c>
      <c r="B2" t="str">
        <f>A2/1000000 &amp; "MHz"</f>
        <v>6.4MHz</v>
      </c>
      <c r="C2" t="str">
        <f xml:space="preserve"> IF(A2&lt;=16000000,"PLL", "HSE")</f>
        <v>PLL</v>
      </c>
      <c r="D2" cm="1">
        <f t="array" ref="D2">_xlfn.IFS(F2&gt;=100000, 1000000, F2&gt;=20000, 800000, F2&gt;=10000, 900000, F2&gt;=3000, 80000)</f>
        <v>80000</v>
      </c>
      <c r="E2" cm="1">
        <f t="array" ref="E2">_xlfn.IFS(F2&gt;=100000, 2000000, F2&gt;=10000, 1000000, F2&gt;=3000, 100000)</f>
        <v>100000</v>
      </c>
      <c r="F2">
        <v>3000</v>
      </c>
      <c r="G2">
        <v>-3</v>
      </c>
      <c r="H2">
        <v>-2</v>
      </c>
    </row>
    <row r="3" spans="1:9" x14ac:dyDescent="0.35">
      <c r="A3">
        <v>8000000</v>
      </c>
      <c r="B3" t="str">
        <f t="shared" ref="B3:B11" si="0">A3/1000000 &amp; "MHz"</f>
        <v>8MHz</v>
      </c>
      <c r="C3" t="str">
        <f xml:space="preserve"> IF(A3&lt;=16000000,"PLL", "HSE")</f>
        <v>PLL</v>
      </c>
      <c r="D3" cm="1">
        <f t="array" ref="D3">_xlfn.IFS(F3&gt;=100000, 1000000, F3&gt;=20000, 800000, F3&gt;=10000, 900000, F3&gt;=3000, 80000)</f>
        <v>80000</v>
      </c>
      <c r="E3" cm="1">
        <f t="array" ref="E3">_xlfn.IFS(F3&gt;=100000, 2000000, F3&gt;=10000, 1000000, F3&gt;=3000, 100000)</f>
        <v>100000</v>
      </c>
      <c r="F3">
        <v>3000</v>
      </c>
      <c r="G3">
        <v>-3</v>
      </c>
      <c r="H3">
        <v>-2</v>
      </c>
    </row>
    <row r="4" spans="1:9" x14ac:dyDescent="0.35">
      <c r="A4">
        <v>16000000</v>
      </c>
      <c r="B4" t="str">
        <f t="shared" si="0"/>
        <v>16MHz</v>
      </c>
      <c r="C4" t="str">
        <f xml:space="preserve"> IF(A4&lt;=16000000,"PLL", "HSE")</f>
        <v>PLL</v>
      </c>
      <c r="D4" cm="1">
        <f t="array" ref="D4">_xlfn.IFS(F4&gt;=100000, 1000000, F4&gt;=20000, 800000, F4&gt;=10000, 900000, F4&gt;=3000, 80000)</f>
        <v>80000</v>
      </c>
      <c r="E4" cm="1">
        <f t="array" ref="E4">_xlfn.IFS(F4&gt;=100000, 2000000, F4&gt;=10000, 1000000, F4&gt;=3000, 100000)</f>
        <v>100000</v>
      </c>
      <c r="F4">
        <v>3000</v>
      </c>
      <c r="G4">
        <v>-3</v>
      </c>
      <c r="H4">
        <v>-2</v>
      </c>
    </row>
    <row r="5" spans="1:9" x14ac:dyDescent="0.35">
      <c r="A5">
        <v>20000000</v>
      </c>
      <c r="B5" t="str">
        <f t="shared" si="0"/>
        <v>20MHz</v>
      </c>
      <c r="C5" t="str">
        <f xml:space="preserve"> IF(A5&lt;=16000000,"PLL", "HSE")</f>
        <v>HSE</v>
      </c>
      <c r="D5" cm="1">
        <f t="array" ref="D5">_xlfn.IFS(F5&gt;=100000, 1000000, F5&gt;=20000, 800000, F5&gt;=10000, 900000, F5&gt;=3000, 80000)</f>
        <v>80000</v>
      </c>
      <c r="E5" cm="1">
        <f t="array" ref="E5">_xlfn.IFS(F5&gt;=100000, 2000000, F5&gt;=10000, 1000000, F5&gt;=3000, 100000)</f>
        <v>100000</v>
      </c>
      <c r="F5">
        <v>3000</v>
      </c>
      <c r="G5">
        <v>-3</v>
      </c>
      <c r="H5">
        <v>-2</v>
      </c>
      <c r="I5" t="s">
        <v>7</v>
      </c>
    </row>
    <row r="6" spans="1:9" x14ac:dyDescent="0.35">
      <c r="A6">
        <v>24000000</v>
      </c>
      <c r="B6" t="str">
        <f t="shared" si="0"/>
        <v>24MHz</v>
      </c>
      <c r="C6" t="str">
        <f xml:space="preserve"> IF(A6&lt;=16000000,"PLL", "HSE")</f>
        <v>HSE</v>
      </c>
      <c r="D6" cm="1">
        <f t="array" ref="D6">_xlfn.IFS(F6&gt;=100000, 1000000, F6&gt;=20000, 800000, F6&gt;=10000, 900000, F6&gt;=3000, 80000)</f>
        <v>80000</v>
      </c>
      <c r="E6" cm="1">
        <f t="array" ref="E6">_xlfn.IFS(F6&gt;=100000, 2000000, F6&gt;=10000, 1000000, F6&gt;=3000, 100000)</f>
        <v>100000</v>
      </c>
      <c r="F6">
        <v>3000</v>
      </c>
      <c r="G6">
        <v>-3</v>
      </c>
      <c r="H6">
        <v>-2</v>
      </c>
      <c r="I6" t="s">
        <v>7</v>
      </c>
    </row>
    <row r="7" spans="1:9" x14ac:dyDescent="0.35">
      <c r="A7">
        <v>40000000</v>
      </c>
      <c r="B7" t="str">
        <f t="shared" si="0"/>
        <v>40MHz</v>
      </c>
      <c r="C7" t="str">
        <f xml:space="preserve"> IF(A7&lt;=16000000,"PLL", "HSE")</f>
        <v>HSE</v>
      </c>
      <c r="D7" cm="1">
        <f t="array" ref="D7">_xlfn.IFS(F7&gt;=100000, 1000000, F7&gt;=20000, 800000, F7&gt;=10000, 900000, F7&gt;=3000, 80000)</f>
        <v>80000</v>
      </c>
      <c r="E7" cm="1">
        <f t="array" ref="E7">_xlfn.IFS(F7&gt;=100000, 2000000, F7&gt;=10000, 1000000, F7&gt;=3000, 100000)</f>
        <v>100000</v>
      </c>
      <c r="F7">
        <v>3000</v>
      </c>
      <c r="G7">
        <v>-3</v>
      </c>
      <c r="H7">
        <v>-2</v>
      </c>
      <c r="I7" t="s">
        <v>7</v>
      </c>
    </row>
    <row r="8" spans="1:9" x14ac:dyDescent="0.35">
      <c r="A8">
        <v>50000000</v>
      </c>
      <c r="B8" t="str">
        <f t="shared" si="0"/>
        <v>50MHz</v>
      </c>
      <c r="C8" t="str">
        <f xml:space="preserve"> IF(A8&lt;=16000000,"PLL", "HSE")</f>
        <v>HSE</v>
      </c>
      <c r="D8" cm="1">
        <f t="array" ref="D8">_xlfn.IFS(F8&gt;=100000, 1000000, F8&gt;=20000, 800000, F8&gt;=10000, 900000, F8&gt;=3000, 80000)</f>
        <v>80000</v>
      </c>
      <c r="E8" cm="1">
        <f t="array" ref="E8">_xlfn.IFS(F8&gt;=100000, 2000000, F8&gt;=10000, 1000000, F8&gt;=3000, 100000)</f>
        <v>100000</v>
      </c>
      <c r="F8">
        <v>3000</v>
      </c>
      <c r="G8">
        <v>-3</v>
      </c>
      <c r="H8">
        <v>-2</v>
      </c>
      <c r="I8" t="s">
        <v>7</v>
      </c>
    </row>
    <row r="9" spans="1:9" x14ac:dyDescent="0.35">
      <c r="A9">
        <v>60000000</v>
      </c>
      <c r="B9" t="str">
        <f t="shared" si="0"/>
        <v>60MHz</v>
      </c>
      <c r="C9" t="str">
        <f xml:space="preserve"> IF(A9&lt;=16000000,"PLL", "HSE")</f>
        <v>HSE</v>
      </c>
      <c r="D9" cm="1">
        <f t="array" ref="D9">_xlfn.IFS(F9&gt;=100000, 1000000, F9&gt;=20000, 800000, F9&gt;=10000, 900000, F9&gt;=3000, 80000)</f>
        <v>80000</v>
      </c>
      <c r="E9" cm="1">
        <f t="array" ref="E9">_xlfn.IFS(F9&gt;=100000, 2000000, F9&gt;=10000, 1000000, F9&gt;=3000, 100000)</f>
        <v>100000</v>
      </c>
      <c r="F9">
        <v>3000</v>
      </c>
      <c r="G9">
        <v>-3</v>
      </c>
      <c r="H9">
        <v>-2</v>
      </c>
      <c r="I9" t="s">
        <v>7</v>
      </c>
    </row>
    <row r="10" spans="1:9" x14ac:dyDescent="0.35">
      <c r="A10">
        <v>75000000</v>
      </c>
      <c r="B10" t="str">
        <f t="shared" si="0"/>
        <v>75MHz</v>
      </c>
      <c r="C10" t="str">
        <f xml:space="preserve"> IF(A10&lt;=16000000,"PLL", "HSE")</f>
        <v>HSE</v>
      </c>
      <c r="D10" cm="1">
        <f t="array" ref="D10">_xlfn.IFS(F10&gt;=100000, 1000000, F10&gt;=20000, 800000, F10&gt;=10000, 900000, F10&gt;=3000, 80000)</f>
        <v>80000</v>
      </c>
      <c r="E10" cm="1">
        <f t="array" ref="E10">_xlfn.IFS(F10&gt;=100000, 2000000, F10&gt;=10000, 1000000, F10&gt;=3000, 100000)</f>
        <v>100000</v>
      </c>
      <c r="F10">
        <v>3000</v>
      </c>
      <c r="G10">
        <v>-3</v>
      </c>
      <c r="H10">
        <v>-2</v>
      </c>
      <c r="I10" t="s">
        <v>7</v>
      </c>
    </row>
    <row r="11" spans="1:9" x14ac:dyDescent="0.35">
      <c r="A11">
        <v>100000000</v>
      </c>
      <c r="B11" t="str">
        <f t="shared" si="0"/>
        <v>100MHz</v>
      </c>
      <c r="C11" t="str">
        <f xml:space="preserve"> IF(A11&lt;=16000000,"PLL", "HSE")</f>
        <v>HSE</v>
      </c>
      <c r="D11" cm="1">
        <f t="array" ref="D11">_xlfn.IFS(F11&gt;=100000, 1000000, F11&gt;=20000, 800000, F11&gt;=10000, 900000, F11&gt;=3000, 80000)</f>
        <v>80000</v>
      </c>
      <c r="E11" cm="1">
        <f t="array" ref="E11">_xlfn.IFS(F11&gt;=100000, 2000000, F11&gt;=10000, 1000000, F11&gt;=3000, 100000)</f>
        <v>100000</v>
      </c>
      <c r="F11">
        <v>3000</v>
      </c>
      <c r="G11">
        <v>-3</v>
      </c>
      <c r="H11">
        <v>-2</v>
      </c>
    </row>
    <row r="12" spans="1:9" x14ac:dyDescent="0.35">
      <c r="A12">
        <v>100000000</v>
      </c>
      <c r="B12" t="str">
        <f t="shared" ref="B3:B22" si="1">A12/1000000 &amp; "MHz"</f>
        <v>100MHz</v>
      </c>
      <c r="C12" t="str">
        <f xml:space="preserve"> IF(A12&lt;=16000000,"PLL", "HSE")</f>
        <v>HSE</v>
      </c>
      <c r="D12" cm="1">
        <f t="array" ref="D12">_xlfn.IFS(F12&gt;=100000, 1000000, F12&gt;=20000, 800000, F12&gt;=10000, 900000, F12&gt;=3000, 80000)</f>
        <v>900000</v>
      </c>
      <c r="E12" cm="1">
        <f t="array" ref="E12">_xlfn.IFS(F12&gt;=100000, 2000000, F12&gt;=10000, 1000000, F12&gt;=3000, 100000)</f>
        <v>1000000</v>
      </c>
      <c r="F12">
        <v>10000</v>
      </c>
      <c r="G12">
        <v>-2</v>
      </c>
      <c r="H12">
        <v>-2</v>
      </c>
    </row>
    <row r="13" spans="1:9" x14ac:dyDescent="0.35">
      <c r="A13">
        <v>4000000</v>
      </c>
      <c r="B13" t="str">
        <f t="shared" si="1"/>
        <v>4MHz</v>
      </c>
      <c r="C13" t="str">
        <f xml:space="preserve"> IF(A13&lt;=16000000,"PLL", "HSE")</f>
        <v>PLL</v>
      </c>
      <c r="D13" cm="1">
        <f t="array" ref="D13">_xlfn.IFS(F13&gt;=100000, 1000000, F13&gt;=20000, 800000, F13&gt;=10000, 900000, F13&gt;=3000, 80000)</f>
        <v>800000</v>
      </c>
      <c r="E13" cm="1">
        <f t="array" ref="E13">_xlfn.IFS(F13&gt;=100000, 2000000, F13&gt;=10000, 1000000, F13&gt;=3000, 100000)</f>
        <v>1000000</v>
      </c>
      <c r="F13">
        <v>20000</v>
      </c>
      <c r="G13">
        <v>5</v>
      </c>
      <c r="H13">
        <v>7</v>
      </c>
    </row>
    <row r="14" spans="1:9" x14ac:dyDescent="0.35">
      <c r="A14">
        <v>8000000</v>
      </c>
      <c r="B14" t="str">
        <f t="shared" si="1"/>
        <v>8MHz</v>
      </c>
      <c r="C14" t="str">
        <f xml:space="preserve"> IF(A14&lt;=16000000,"PLL", "HSE")</f>
        <v>PLL</v>
      </c>
      <c r="D14" cm="1">
        <f t="array" ref="D14">_xlfn.IFS(F14&gt;=100000, 1000000, F14&gt;=20000, 800000, F14&gt;=10000, 900000, F14&gt;=3000, 80000)</f>
        <v>800000</v>
      </c>
      <c r="E14" cm="1">
        <f t="array" ref="E14">_xlfn.IFS(F14&gt;=100000, 2000000, F14&gt;=10000, 1000000, F14&gt;=3000, 100000)</f>
        <v>1000000</v>
      </c>
      <c r="F14">
        <v>20000</v>
      </c>
      <c r="G14">
        <v>1</v>
      </c>
      <c r="H14">
        <v>2</v>
      </c>
    </row>
    <row r="15" spans="1:9" x14ac:dyDescent="0.35">
      <c r="A15">
        <v>16000000</v>
      </c>
      <c r="B15" t="str">
        <f t="shared" si="1"/>
        <v>16MHz</v>
      </c>
      <c r="C15" t="str">
        <f xml:space="preserve"> IF(A15&lt;=16000000,"PLL", "HSE")</f>
        <v>PLL</v>
      </c>
      <c r="D15" cm="1">
        <f t="array" ref="D15">_xlfn.IFS(F15&gt;=100000, 1000000, F15&gt;=20000, 800000, F15&gt;=10000, 900000, F15&gt;=3000, 80000)</f>
        <v>800000</v>
      </c>
      <c r="E15" cm="1">
        <f t="array" ref="E15">_xlfn.IFS(F15&gt;=100000, 2000000, F15&gt;=10000, 1000000, F15&gt;=3000, 100000)</f>
        <v>1000000</v>
      </c>
      <c r="F15">
        <v>20000</v>
      </c>
      <c r="G15">
        <v>-1</v>
      </c>
      <c r="H15">
        <v>0</v>
      </c>
    </row>
    <row r="16" spans="1:9" x14ac:dyDescent="0.35">
      <c r="A16">
        <v>100000000</v>
      </c>
      <c r="B16" t="str">
        <f t="shared" si="1"/>
        <v>100MHz</v>
      </c>
      <c r="C16" t="str">
        <f xml:space="preserve"> IF(A16&lt;=16000000,"PLL", "HSE")</f>
        <v>HSE</v>
      </c>
      <c r="D16" cm="1">
        <f t="array" ref="D16">_xlfn.IFS(F16&gt;=100000, 1000000, F16&gt;=20000, 800000, F16&gt;=10000, 900000, F16&gt;=3000, 80000)</f>
        <v>800000</v>
      </c>
      <c r="E16" cm="1">
        <f t="array" ref="E16">_xlfn.IFS(F16&gt;=100000, 2000000, F16&gt;=10000, 1000000, F16&gt;=3000, 100000)</f>
        <v>1000000</v>
      </c>
      <c r="F16">
        <v>20000</v>
      </c>
      <c r="G16">
        <v>-2</v>
      </c>
      <c r="H16">
        <v>-2</v>
      </c>
    </row>
    <row r="17" spans="1:9" x14ac:dyDescent="0.35">
      <c r="A17">
        <v>8000000</v>
      </c>
      <c r="B17" t="str">
        <f t="shared" si="1"/>
        <v>8MHz</v>
      </c>
      <c r="C17" t="str">
        <f xml:space="preserve"> IF(A17&lt;=16000000,"PLL", "HSE")</f>
        <v>PLL</v>
      </c>
      <c r="D17" cm="1">
        <f t="array" ref="D17">_xlfn.IFS(F17&gt;=100000, 1000000, F17&gt;=20000, 800000, F17&gt;=10000, 900000, F17&gt;=3000, 80000)</f>
        <v>800000</v>
      </c>
      <c r="E17" cm="1">
        <f t="array" ref="E17">_xlfn.IFS(F17&gt;=100000, 2000000, F17&gt;=10000, 1000000, F17&gt;=3000, 100000)</f>
        <v>1000000</v>
      </c>
      <c r="F17">
        <v>50000</v>
      </c>
      <c r="G17">
        <v>1</v>
      </c>
      <c r="H17">
        <v>2</v>
      </c>
    </row>
    <row r="18" spans="1:9" x14ac:dyDescent="0.35">
      <c r="A18">
        <v>16000000</v>
      </c>
      <c r="B18" t="str">
        <f t="shared" si="1"/>
        <v>16MHz</v>
      </c>
      <c r="C18" t="str">
        <f xml:space="preserve"> IF(A18&lt;=16000000,"PLL", "HSE")</f>
        <v>PLL</v>
      </c>
      <c r="D18" cm="1">
        <f t="array" ref="D18">_xlfn.IFS(F18&gt;=100000, 1000000, F18&gt;=20000, 800000, F18&gt;=10000, 900000, F18&gt;=3000, 80000)</f>
        <v>800000</v>
      </c>
      <c r="E18" cm="1">
        <f t="array" ref="E18">_xlfn.IFS(F18&gt;=100000, 2000000, F18&gt;=10000, 1000000, F18&gt;=3000, 100000)</f>
        <v>1000000</v>
      </c>
      <c r="F18">
        <v>50000</v>
      </c>
      <c r="G18">
        <v>-1</v>
      </c>
      <c r="H18">
        <v>0</v>
      </c>
    </row>
    <row r="19" spans="1:9" x14ac:dyDescent="0.35">
      <c r="A19">
        <v>100000000</v>
      </c>
      <c r="B19" t="str">
        <f t="shared" si="1"/>
        <v>100MHz</v>
      </c>
      <c r="C19" t="str">
        <f xml:space="preserve"> IF(A19&lt;=16000000,"PLL", "HSE")</f>
        <v>HSE</v>
      </c>
      <c r="D19" cm="1">
        <f t="array" ref="D19">_xlfn.IFS(F19&gt;=100000, 1000000, F19&gt;=20000, 800000, F19&gt;=10000, 900000, F19&gt;=3000, 80000)</f>
        <v>800000</v>
      </c>
      <c r="E19" cm="1">
        <f t="array" ref="E19">_xlfn.IFS(F19&gt;=100000, 2000000, F19&gt;=10000, 1000000, F19&gt;=3000, 100000)</f>
        <v>1000000</v>
      </c>
      <c r="F19">
        <v>50000</v>
      </c>
      <c r="G19">
        <v>-2</v>
      </c>
      <c r="H19">
        <v>-2</v>
      </c>
    </row>
    <row r="20" spans="1:9" x14ac:dyDescent="0.35">
      <c r="A20">
        <v>100000000</v>
      </c>
      <c r="B20" t="str">
        <f t="shared" si="1"/>
        <v>100MHz</v>
      </c>
      <c r="C20" t="str">
        <f xml:space="preserve"> IF(A20&lt;=16000000,"PLL", "HSE")</f>
        <v>HSE</v>
      </c>
      <c r="D20" cm="1">
        <f t="array" ref="D20">_xlfn.IFS(F20&gt;=100000, 1000000, F20&gt;=20000, 800000, F20&gt;=10000, 900000, F20&gt;=3000, 80000)</f>
        <v>1000000</v>
      </c>
      <c r="E20" cm="1">
        <f t="array" ref="E20">_xlfn.IFS(F20&gt;=100000, 2000000, F20&gt;=10000, 1000000, F20&gt;=3000, 100000)</f>
        <v>2000000</v>
      </c>
      <c r="F20">
        <v>100000</v>
      </c>
      <c r="G20">
        <v>-2</v>
      </c>
      <c r="H20">
        <v>-2</v>
      </c>
    </row>
    <row r="21" spans="1:9" x14ac:dyDescent="0.35">
      <c r="A21">
        <v>100000000</v>
      </c>
      <c r="B21" t="str">
        <f t="shared" si="1"/>
        <v>100MHz</v>
      </c>
      <c r="C21" t="str">
        <f xml:space="preserve"> IF(A21&lt;=16000000,"PLL", "HSE")</f>
        <v>HSE</v>
      </c>
      <c r="D21" cm="1">
        <f t="array" ref="D21">_xlfn.IFS(F21&gt;=100000, 1000000, F21&gt;=20000, 800000, F21&gt;=10000, 900000, F21&gt;=3000, 80000)</f>
        <v>1000000</v>
      </c>
      <c r="E21" cm="1">
        <f t="array" ref="E21">_xlfn.IFS(F21&gt;=100000, 2000000, F21&gt;=10000, 1000000, F21&gt;=3000, 100000)</f>
        <v>2000000</v>
      </c>
      <c r="F21">
        <v>200000</v>
      </c>
      <c r="G21">
        <v>-1</v>
      </c>
      <c r="H21">
        <v>-2</v>
      </c>
      <c r="I21" t="s">
        <v>7</v>
      </c>
    </row>
    <row r="22" spans="1:9" x14ac:dyDescent="0.35">
      <c r="A22">
        <v>100000000</v>
      </c>
      <c r="B22" t="str">
        <f t="shared" si="1"/>
        <v>100MHz</v>
      </c>
      <c r="C22" t="str">
        <f xml:space="preserve"> IF(A22&lt;=16000000,"PLL", "HSE")</f>
        <v>HSE</v>
      </c>
      <c r="D22" cm="1">
        <f t="array" ref="D22">_xlfn.IFS(F22&gt;=100000, 1000000, F22&gt;=20000, 800000, F22&gt;=10000, 900000, F22&gt;=3000, 80000)</f>
        <v>1000000</v>
      </c>
      <c r="E22" cm="1">
        <f t="array" ref="E22">_xlfn.IFS(F22&gt;=100000, 2000000, F22&gt;=10000, 1000000, F22&gt;=3000, 100000)</f>
        <v>2000000</v>
      </c>
      <c r="F22">
        <v>500000</v>
      </c>
      <c r="G22">
        <v>0</v>
      </c>
      <c r="H22">
        <v>0</v>
      </c>
      <c r="I22" t="s">
        <v>7</v>
      </c>
    </row>
  </sheetData>
  <sortState xmlns:xlrd2="http://schemas.microsoft.com/office/spreadsheetml/2017/richdata2" ref="A2:H23">
    <sortCondition ref="E1:E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Wang(Yuan Hongxun)</dc:creator>
  <cp:lastModifiedBy>Sean Wang(Yuan Hongxun)</cp:lastModifiedBy>
  <dcterms:created xsi:type="dcterms:W3CDTF">2026-04-07T18:58:51Z</dcterms:created>
  <dcterms:modified xsi:type="dcterms:W3CDTF">2026-04-07T20:05:27Z</dcterms:modified>
</cp:coreProperties>
</file>