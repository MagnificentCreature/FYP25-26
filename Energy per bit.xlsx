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anw\Documents\Data D\CP4101\Wireless experiments\"/>
    </mc:Choice>
  </mc:AlternateContent>
  <xr:revisionPtr revIDLastSave="0" documentId="13_ncr:1_{49A6BAB5-2AA0-4260-956F-E0E22475E53F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lets say 192 bits were trans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 s="1"/>
  <c r="F19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7" i="1"/>
  <c r="E17" i="1" s="1"/>
  <c r="F17" i="1" s="1"/>
  <c r="D18" i="1"/>
  <c r="E18" i="1" s="1"/>
  <c r="F18" i="1" s="1"/>
  <c r="D8" i="1"/>
  <c r="E8" i="1" s="1"/>
  <c r="F8" i="1" s="1"/>
  <c r="D4" i="1"/>
  <c r="E4" i="1" s="1"/>
  <c r="F4" i="1" s="1"/>
  <c r="D3" i="1"/>
  <c r="E3" i="1" s="1"/>
  <c r="F3" i="1" s="1"/>
  <c r="D6" i="1"/>
  <c r="E6" i="1" s="1"/>
  <c r="F6" i="1" s="1"/>
  <c r="D9" i="1"/>
  <c r="E9" i="1" s="1"/>
  <c r="F9" i="1" s="1"/>
  <c r="D10" i="1"/>
  <c r="E10" i="1" s="1"/>
  <c r="F10" i="1" s="1"/>
  <c r="D16" i="1"/>
  <c r="E16" i="1" s="1"/>
  <c r="F16" i="1" s="1"/>
  <c r="D2" i="1"/>
  <c r="E2" i="1" s="1"/>
  <c r="F2" i="1" s="1"/>
  <c r="D5" i="1"/>
  <c r="E5" i="1" s="1"/>
  <c r="F5" i="1" s="1"/>
  <c r="D7" i="1"/>
  <c r="E7" i="1" s="1"/>
  <c r="F7" i="1" s="1"/>
</calcChain>
</file>

<file path=xl/sharedStrings.xml><?xml version="1.0" encoding="utf-8"?>
<sst xmlns="http://schemas.openxmlformats.org/spreadsheetml/2006/main" count="25" uniqueCount="18">
  <si>
    <t>Bitrate (BPS)</t>
  </si>
  <si>
    <t>Current (mA)</t>
  </si>
  <si>
    <t>Trans. Time (ms)</t>
  </si>
  <si>
    <t>Power (mW)</t>
  </si>
  <si>
    <t>Energy per Bit (μJ)</t>
  </si>
  <si>
    <t>Clock Speed</t>
  </si>
  <si>
    <t>100MHz</t>
  </si>
  <si>
    <t>6.4MHz</t>
  </si>
  <si>
    <t>Total Energy</t>
  </si>
  <si>
    <t>4MHz</t>
  </si>
  <si>
    <t>8MHz</t>
  </si>
  <si>
    <t>16MHz</t>
  </si>
  <si>
    <t>20MHz</t>
  </si>
  <si>
    <t>24MHz</t>
  </si>
  <si>
    <t>40MHz</t>
  </si>
  <si>
    <t>50MHz</t>
  </si>
  <si>
    <t>60MHz</t>
  </si>
  <si>
    <t>75MHz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</si>
</sst>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>
      <selection activeCell="H24" sqref="H24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</row>
    <row r="2" spans="1:7" ht="15.75" customHeight="1" x14ac:dyDescent="0.25">
      <c r="A2" s="2">
        <v>50000</v>
      </c>
      <c r="B2" s="1">
        <v>7.73</v>
      </c>
      <c r="C2" s="1">
        <v>3.84</v>
      </c>
      <c r="D2" s="1">
        <f>3.3*B2</f>
        <v>25.509</v>
      </c>
      <c r="E2">
        <f>D2*C2</f>
        <v>97.954560000000001</v>
      </c>
      <c r="F2" s="1">
        <f>E2/192</f>
        <v>0.51017999999999997</v>
      </c>
      <c r="G2" s="1" t="s">
        <v>6</v>
      </c>
    </row>
    <row r="3" spans="1:7" ht="15.75" customHeight="1" x14ac:dyDescent="0.25">
      <c r="A3" s="2">
        <v>50000</v>
      </c>
      <c r="B3" s="1">
        <v>3.68</v>
      </c>
      <c r="C3" s="1">
        <v>3.84</v>
      </c>
      <c r="D3" s="1">
        <f>3.3*B3</f>
        <v>12.144</v>
      </c>
      <c r="E3">
        <f>D3*C3</f>
        <v>46.632959999999997</v>
      </c>
      <c r="F3" s="1">
        <f>E3/192</f>
        <v>0.24287999999999998</v>
      </c>
      <c r="G3" s="1" t="s">
        <v>11</v>
      </c>
    </row>
    <row r="4" spans="1:7" ht="15.75" customHeight="1" x14ac:dyDescent="0.25">
      <c r="A4" s="2">
        <v>50000</v>
      </c>
      <c r="B4" s="1">
        <v>3.18</v>
      </c>
      <c r="C4" s="1">
        <v>3.84</v>
      </c>
      <c r="D4" s="1">
        <f>3.3*B4</f>
        <v>10.494</v>
      </c>
      <c r="E4">
        <f>D4*C4</f>
        <v>40.296959999999999</v>
      </c>
      <c r="F4" s="1">
        <f>E4/192</f>
        <v>0.20987999999999998</v>
      </c>
      <c r="G4" s="1" t="s">
        <v>10</v>
      </c>
    </row>
    <row r="5" spans="1:7" ht="15.75" customHeight="1" x14ac:dyDescent="0.25">
      <c r="A5" s="2">
        <v>20000</v>
      </c>
      <c r="B5" s="1">
        <v>7.67</v>
      </c>
      <c r="C5" s="1">
        <v>9.6</v>
      </c>
      <c r="D5" s="1">
        <f>3.3*B5</f>
        <v>25.311</v>
      </c>
      <c r="E5">
        <f>D5*C5</f>
        <v>242.98559999999998</v>
      </c>
      <c r="F5" s="1">
        <f>E5/192</f>
        <v>1.26555</v>
      </c>
      <c r="G5" s="1" t="s">
        <v>6</v>
      </c>
    </row>
    <row r="6" spans="1:7" ht="15.75" customHeight="1" x14ac:dyDescent="0.25">
      <c r="A6" s="2">
        <v>20000</v>
      </c>
      <c r="B6" s="1">
        <v>3.87</v>
      </c>
      <c r="C6" s="1">
        <v>9.6</v>
      </c>
      <c r="D6" s="1">
        <f>3.3*B6</f>
        <v>12.770999999999999</v>
      </c>
      <c r="E6">
        <f>D6*C6</f>
        <v>122.60159999999999</v>
      </c>
      <c r="F6" s="1">
        <f>E6/192</f>
        <v>0.63854999999999995</v>
      </c>
      <c r="G6" s="1" t="s">
        <v>11</v>
      </c>
    </row>
    <row r="7" spans="1:7" ht="15.75" customHeight="1" x14ac:dyDescent="0.25">
      <c r="A7" s="2">
        <v>20000</v>
      </c>
      <c r="B7" s="1">
        <v>3.31</v>
      </c>
      <c r="C7" s="1">
        <v>9.6</v>
      </c>
      <c r="D7" s="1">
        <f>3.3*B7</f>
        <v>10.923</v>
      </c>
      <c r="E7">
        <f>D7*C7</f>
        <v>104.8608</v>
      </c>
      <c r="F7" s="1">
        <f>E7/192</f>
        <v>0.54615000000000002</v>
      </c>
      <c r="G7" s="1" t="s">
        <v>9</v>
      </c>
    </row>
    <row r="8" spans="1:7" ht="15.75" customHeight="1" x14ac:dyDescent="0.25">
      <c r="A8" s="2">
        <v>20000</v>
      </c>
      <c r="B8" s="1">
        <v>3.37</v>
      </c>
      <c r="C8" s="1">
        <v>9.6</v>
      </c>
      <c r="D8" s="1">
        <f>3.3*B8</f>
        <v>11.121</v>
      </c>
      <c r="E8">
        <f>D8*C8</f>
        <v>106.7616</v>
      </c>
      <c r="F8" s="1">
        <f>E8/192</f>
        <v>0.55605000000000004</v>
      </c>
      <c r="G8" s="1" t="s">
        <v>10</v>
      </c>
    </row>
    <row r="9" spans="1:7" ht="15.75" customHeight="1" x14ac:dyDescent="0.25">
      <c r="A9" s="2">
        <v>10000</v>
      </c>
      <c r="B9" s="1">
        <v>7.64</v>
      </c>
      <c r="C9" s="1">
        <v>19.2</v>
      </c>
      <c r="D9" s="1">
        <f>3.3*B9</f>
        <v>25.211999999999996</v>
      </c>
      <c r="E9">
        <f>D9*C9</f>
        <v>484.07039999999989</v>
      </c>
      <c r="F9" s="1">
        <f>E9/192</f>
        <v>2.5211999999999994</v>
      </c>
      <c r="G9" s="1" t="s">
        <v>6</v>
      </c>
    </row>
    <row r="10" spans="1:7" ht="15.75" customHeight="1" x14ac:dyDescent="0.25">
      <c r="A10" s="2">
        <v>3000</v>
      </c>
      <c r="B10" s="1">
        <v>7.62</v>
      </c>
      <c r="C10" s="1">
        <v>64</v>
      </c>
      <c r="D10" s="1">
        <f>3.3*B10</f>
        <v>25.145999999999997</v>
      </c>
      <c r="E10">
        <f>D10*C10</f>
        <v>1609.3439999999998</v>
      </c>
      <c r="F10" s="1">
        <f>E10/192</f>
        <v>8.3819999999999997</v>
      </c>
      <c r="G10" s="1" t="s">
        <v>6</v>
      </c>
    </row>
    <row r="11" spans="1:7" ht="15.75" customHeight="1" x14ac:dyDescent="0.25">
      <c r="A11" s="2">
        <v>3000</v>
      </c>
      <c r="B11" s="3">
        <v>3.44</v>
      </c>
      <c r="C11" s="1">
        <v>64</v>
      </c>
      <c r="D11" s="1">
        <f>3.3*B11</f>
        <v>11.351999999999999</v>
      </c>
      <c r="E11">
        <f>D11*C11</f>
        <v>726.52799999999991</v>
      </c>
      <c r="F11" s="1">
        <f>E11/192</f>
        <v>3.7839999999999994</v>
      </c>
      <c r="G11" t="s">
        <v>11</v>
      </c>
    </row>
    <row r="12" spans="1:7" ht="15.75" customHeight="1" x14ac:dyDescent="0.25">
      <c r="A12" s="2">
        <v>3000</v>
      </c>
      <c r="B12" s="3">
        <v>3.89</v>
      </c>
      <c r="C12" s="1">
        <v>64</v>
      </c>
      <c r="D12" s="1">
        <f>3.3*B12</f>
        <v>12.837</v>
      </c>
      <c r="E12">
        <f>D12*C12</f>
        <v>821.56799999999998</v>
      </c>
      <c r="F12" s="1">
        <f>E12/192</f>
        <v>4.2789999999999999</v>
      </c>
      <c r="G12" t="s">
        <v>12</v>
      </c>
    </row>
    <row r="13" spans="1:7" ht="15.75" customHeight="1" x14ac:dyDescent="0.25">
      <c r="A13" s="2">
        <v>3000</v>
      </c>
      <c r="B13" s="3">
        <v>4.1100000000000003</v>
      </c>
      <c r="C13" s="1">
        <v>64</v>
      </c>
      <c r="D13" s="1">
        <f>3.3*B13</f>
        <v>13.563000000000001</v>
      </c>
      <c r="E13">
        <f>D13*C13</f>
        <v>868.03200000000004</v>
      </c>
      <c r="F13" s="1">
        <f>E13/192</f>
        <v>4.5209999999999999</v>
      </c>
      <c r="G13" t="s">
        <v>13</v>
      </c>
    </row>
    <row r="14" spans="1:7" ht="15.75" customHeight="1" x14ac:dyDescent="0.25">
      <c r="A14" s="2">
        <v>3000</v>
      </c>
      <c r="B14" s="3">
        <v>4.8600000000000003</v>
      </c>
      <c r="C14" s="1">
        <v>64</v>
      </c>
      <c r="D14" s="1">
        <f>3.3*B14</f>
        <v>16.038</v>
      </c>
      <c r="E14">
        <f>D14*C14</f>
        <v>1026.432</v>
      </c>
      <c r="F14" s="1">
        <f>E14/192</f>
        <v>5.3460000000000001</v>
      </c>
      <c r="G14" t="s">
        <v>14</v>
      </c>
    </row>
    <row r="15" spans="1:7" ht="15.75" customHeight="1" x14ac:dyDescent="0.25">
      <c r="A15" s="2">
        <v>3000</v>
      </c>
      <c r="B15" s="3">
        <v>5.34</v>
      </c>
      <c r="C15" s="1">
        <v>64</v>
      </c>
      <c r="D15" s="1">
        <f>3.3*B15</f>
        <v>17.622</v>
      </c>
      <c r="E15">
        <f>D15*C15</f>
        <v>1127.808</v>
      </c>
      <c r="F15" s="1">
        <f>E15/192</f>
        <v>5.8739999999999997</v>
      </c>
      <c r="G15" t="s">
        <v>15</v>
      </c>
    </row>
    <row r="16" spans="1:7" ht="15.75" customHeight="1" x14ac:dyDescent="0.25">
      <c r="A16" s="2">
        <v>3000</v>
      </c>
      <c r="B16" s="1">
        <v>2.99</v>
      </c>
      <c r="C16" s="1">
        <v>64</v>
      </c>
      <c r="D16" s="1">
        <f>3.3*B16</f>
        <v>9.8670000000000009</v>
      </c>
      <c r="E16">
        <f>D16*C16</f>
        <v>631.48800000000006</v>
      </c>
      <c r="F16" s="1">
        <f>E16/192</f>
        <v>3.2890000000000001</v>
      </c>
      <c r="G16" s="1" t="s">
        <v>7</v>
      </c>
    </row>
    <row r="17" spans="1:7" ht="15.75" customHeight="1" x14ac:dyDescent="0.25">
      <c r="A17" s="2">
        <v>3000</v>
      </c>
      <c r="B17" s="3">
        <v>6.45</v>
      </c>
      <c r="C17" s="1">
        <v>64</v>
      </c>
      <c r="D17" s="1">
        <f>3.3*B17</f>
        <v>21.285</v>
      </c>
      <c r="E17">
        <f>D17*C17</f>
        <v>1362.24</v>
      </c>
      <c r="F17" s="1">
        <f>E17/192</f>
        <v>7.0949999999999998</v>
      </c>
      <c r="G17" t="s">
        <v>16</v>
      </c>
    </row>
    <row r="18" spans="1:7" ht="15.75" customHeight="1" x14ac:dyDescent="0.25">
      <c r="A18" s="2">
        <v>3000</v>
      </c>
      <c r="B18" s="3">
        <v>7.59</v>
      </c>
      <c r="C18" s="1">
        <v>64</v>
      </c>
      <c r="D18" s="1">
        <f>3.3*B18</f>
        <v>25.046999999999997</v>
      </c>
      <c r="E18">
        <f>D18*C18</f>
        <v>1603.0079999999998</v>
      </c>
      <c r="F18" s="1">
        <f>E18/192</f>
        <v>8.3489999999999984</v>
      </c>
      <c r="G18" t="s">
        <v>17</v>
      </c>
    </row>
    <row r="19" spans="1:7" ht="15.75" customHeight="1" x14ac:dyDescent="0.25">
      <c r="A19" s="2">
        <v>3000</v>
      </c>
      <c r="B19">
        <v>3.06</v>
      </c>
      <c r="C19" s="1">
        <v>64</v>
      </c>
      <c r="D19" s="1">
        <f>3.3*B19</f>
        <v>10.097999999999999</v>
      </c>
      <c r="E19">
        <f>D19*C19</f>
        <v>646.27199999999993</v>
      </c>
      <c r="F19" s="1">
        <f>E19/192</f>
        <v>3.3659999999999997</v>
      </c>
      <c r="G19" t="s">
        <v>10</v>
      </c>
    </row>
    <row r="20" spans="1:7" ht="15.75" customHeight="1" x14ac:dyDescent="0.25">
      <c r="A20" s="2"/>
    </row>
  </sheetData>
  <sortState xmlns:xlrd2="http://schemas.microsoft.com/office/spreadsheetml/2017/richdata2" ref="A2:G24">
    <sortCondition descending="1" ref="A1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lets say 192 bits were 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Wang(Yuan Hongxun)</cp:lastModifiedBy>
  <dcterms:modified xsi:type="dcterms:W3CDTF">2026-04-07T20:05:26Z</dcterms:modified>
</cp:coreProperties>
</file>